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ULO_LIRA\Documents\"/>
    </mc:Choice>
  </mc:AlternateContent>
  <xr:revisionPtr revIDLastSave="0" documentId="8_{305C39C1-0153-4E3A-9D65-A9471DB133B9}" xr6:coauthVersionLast="47" xr6:coauthVersionMax="47" xr10:uidLastSave="{00000000-0000-0000-0000-000000000000}"/>
  <bookViews>
    <workbookView xWindow="5565" yWindow="-16320" windowWidth="29040" windowHeight="15720" xr2:uid="{86B7F7A2-4375-438B-8C77-ACBEFA1DCF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O25" i="1" l="1"/>
  <c r="AN25" i="1"/>
  <c r="AD25" i="1"/>
  <c r="AC25" i="1"/>
  <c r="AB25" i="1"/>
  <c r="AA25" i="1"/>
  <c r="Z25" i="1"/>
  <c r="Y25" i="1"/>
  <c r="X25" i="1"/>
  <c r="W25" i="1"/>
  <c r="V25" i="1"/>
  <c r="U25" i="1"/>
  <c r="T25" i="1"/>
  <c r="S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AM24" i="1"/>
  <c r="AL24" i="1"/>
  <c r="AJ24" i="1"/>
  <c r="AI24" i="1"/>
  <c r="AH24" i="1"/>
  <c r="AG24" i="1"/>
  <c r="AE24" i="1"/>
  <c r="Q24" i="1"/>
  <c r="AM23" i="1"/>
  <c r="AM25" i="1" s="1"/>
  <c r="AL23" i="1"/>
  <c r="AL25" i="1" s="1"/>
  <c r="AJ23" i="1"/>
  <c r="AJ25" i="1" s="1"/>
  <c r="AI23" i="1"/>
  <c r="AI25" i="1" s="1"/>
  <c r="AH23" i="1"/>
  <c r="AH25" i="1" s="1"/>
  <c r="AG23" i="1"/>
  <c r="AG25" i="1" s="1"/>
  <c r="AE23" i="1"/>
  <c r="AE25" i="1" s="1"/>
  <c r="Q23" i="1"/>
  <c r="AN16" i="1"/>
  <c r="AI16" i="1"/>
  <c r="AH16" i="1"/>
  <c r="AG16" i="1"/>
  <c r="AF16" i="1"/>
  <c r="AC16" i="1"/>
  <c r="AB16" i="1"/>
  <c r="AA16" i="1"/>
  <c r="Z16" i="1"/>
  <c r="Y16" i="1"/>
  <c r="X16" i="1"/>
  <c r="AD16" i="1" s="1"/>
  <c r="W16" i="1"/>
  <c r="V16" i="1"/>
  <c r="U16" i="1"/>
  <c r="T16" i="1"/>
  <c r="S16" i="1"/>
  <c r="R16" i="1"/>
  <c r="O16" i="1"/>
  <c r="N16" i="1"/>
  <c r="M16" i="1"/>
  <c r="L16" i="1"/>
  <c r="K16" i="1"/>
  <c r="J16" i="1"/>
  <c r="I16" i="1"/>
  <c r="H16" i="1"/>
  <c r="G16" i="1"/>
  <c r="F16" i="1"/>
  <c r="E16" i="1"/>
  <c r="P16" i="1" s="1"/>
  <c r="D16" i="1"/>
  <c r="AN15" i="1"/>
  <c r="AM15" i="1"/>
  <c r="AL15" i="1"/>
  <c r="AK15" i="1"/>
  <c r="AK16" i="1" s="1"/>
  <c r="AI15" i="1"/>
  <c r="AH15" i="1"/>
  <c r="AG15" i="1"/>
  <c r="AF15" i="1"/>
  <c r="AD15" i="1"/>
  <c r="P15" i="1"/>
  <c r="AN14" i="1"/>
  <c r="AM14" i="1"/>
  <c r="AM16" i="1" s="1"/>
  <c r="AL14" i="1"/>
  <c r="AL16" i="1" s="1"/>
  <c r="AK14" i="1"/>
  <c r="AI14" i="1"/>
  <c r="AH14" i="1"/>
  <c r="AG14" i="1"/>
  <c r="AF14" i="1"/>
  <c r="AD14" i="1"/>
  <c r="P14" i="1"/>
  <c r="AC7" i="1"/>
  <c r="AB7" i="1"/>
  <c r="AA7" i="1"/>
  <c r="Z7" i="1"/>
  <c r="Y7" i="1"/>
  <c r="X7" i="1"/>
  <c r="W7" i="1"/>
  <c r="V7" i="1"/>
  <c r="U7" i="1"/>
  <c r="T7" i="1"/>
  <c r="S7" i="1"/>
  <c r="R7" i="1"/>
  <c r="AD7" i="1" s="1"/>
  <c r="O7" i="1"/>
  <c r="N7" i="1"/>
  <c r="M7" i="1"/>
  <c r="L7" i="1"/>
  <c r="K7" i="1"/>
  <c r="P7" i="1" s="1"/>
  <c r="J7" i="1"/>
  <c r="I7" i="1"/>
  <c r="H7" i="1"/>
  <c r="G7" i="1"/>
  <c r="F7" i="1"/>
  <c r="E7" i="1"/>
  <c r="D7" i="1"/>
  <c r="AL6" i="1"/>
  <c r="AK6" i="1"/>
  <c r="AK7" i="1" s="1"/>
  <c r="AI6" i="1"/>
  <c r="AH6" i="1"/>
  <c r="AG6" i="1"/>
  <c r="AF6" i="1"/>
  <c r="AD6" i="1"/>
  <c r="P6" i="1"/>
  <c r="AN5" i="1"/>
  <c r="AM5" i="1"/>
  <c r="AL5" i="1"/>
  <c r="AL7" i="1" s="1"/>
  <c r="AK5" i="1"/>
  <c r="AI5" i="1"/>
  <c r="AI7" i="1" s="1"/>
  <c r="AH5" i="1"/>
  <c r="AH7" i="1" s="1"/>
  <c r="AG5" i="1"/>
  <c r="AG7" i="1" s="1"/>
  <c r="AF5" i="1"/>
  <c r="AF7" i="1" s="1"/>
  <c r="AD5" i="1"/>
  <c r="P5" i="1"/>
</calcChain>
</file>

<file path=xl/sharedStrings.xml><?xml version="1.0" encoding="utf-8"?>
<sst xmlns="http://schemas.openxmlformats.org/spreadsheetml/2006/main" count="101" uniqueCount="37">
  <si>
    <t>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</si>
  <si>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</si>
  <si>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</si>
  <si>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</si>
  <si>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</si>
  <si>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</si>
  <si>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</si>
  <si>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</si>
  <si>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</si>
  <si>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</si>
  <si>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</si>
  <si>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</si>
  <si>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</si>
  <si>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Y25</t>
  </si>
  <si>
    <t>Y26</t>
  </si>
  <si>
    <t>1Q'Y25</t>
  </si>
  <si>
    <t>2Q'Y25</t>
  </si>
  <si>
    <t>3Q'Y25</t>
  </si>
  <si>
    <t>4Q'Y25</t>
  </si>
  <si>
    <t>1Q'Y26</t>
  </si>
  <si>
    <t>2Q'Y26</t>
  </si>
  <si>
    <t>3Q'Y26</t>
  </si>
  <si>
    <t>4Q'Y26</t>
  </si>
  <si>
    <t>Logistic Cost
KPI TV</t>
  </si>
  <si>
    <t>Target</t>
  </si>
  <si>
    <t>Result</t>
  </si>
  <si>
    <t>%</t>
  </si>
  <si>
    <t>War Room Report (Material Team)</t>
  </si>
  <si>
    <t>WAR Roon  Evidence &gt;&gt;&gt;</t>
  </si>
  <si>
    <t>KPI - Air Freight (TV)</t>
  </si>
  <si>
    <t>(%)</t>
  </si>
  <si>
    <t>Air Freight
KPI  TV</t>
  </si>
  <si>
    <t>KPI - Logistics Cost x Prod Amount (TV)</t>
  </si>
  <si>
    <t>(MUSD)</t>
  </si>
  <si>
    <t>KPI</t>
  </si>
  <si>
    <t>Logistics Cost</t>
  </si>
  <si>
    <t>Production Amt.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</si>
</sst>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rial Narrow"/>
      <family val="2"/>
    </font>
    <font>
      <sz val="12"/>
      <color theme="1"/>
      <name val="Arial Narrow"/>
      <family val="2"/>
    </font>
    <font>
      <b/>
      <sz val="9"/>
      <color rgb="FF339933"/>
      <name val="Arial Narrow"/>
      <family val="2"/>
    </font>
    <font>
      <sz val="10"/>
      <color rgb="FF339933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4" fontId="3" fillId="0" borderId="2" xfId="2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64" fontId="3" fillId="0" borderId="1" xfId="2" applyNumberFormat="1" applyFont="1" applyBorder="1" applyAlignment="1">
      <alignment horizontal="right" vertical="center"/>
    </xf>
    <xf numFmtId="10" fontId="3" fillId="0" borderId="1" xfId="2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5" borderId="1" xfId="2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9" fontId="3" fillId="0" borderId="1" xfId="2" applyFont="1" applyBorder="1" applyAlignment="1">
      <alignment horizontal="right" vertical="center"/>
    </xf>
    <xf numFmtId="9" fontId="3" fillId="0" borderId="2" xfId="2" applyFont="1" applyBorder="1" applyAlignment="1">
      <alignment horizontal="right" vertical="center"/>
    </xf>
    <xf numFmtId="9" fontId="3" fillId="5" borderId="1" xfId="2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0" fontId="3" fillId="0" borderId="2" xfId="0" applyNumberFormat="1" applyFont="1" applyBorder="1" applyAlignment="1">
      <alignment horizontal="right" vertical="center"/>
    </xf>
    <xf numFmtId="10" fontId="3" fillId="0" borderId="2" xfId="1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10" fontId="3" fillId="0" borderId="2" xfId="2" applyNumberFormat="1" applyFont="1" applyBorder="1" applyAlignment="1">
      <alignment horizontal="right" vertical="center"/>
    </xf>
    <xf numFmtId="0" fontId="3" fillId="0" borderId="1" xfId="2" applyNumberFormat="1" applyFont="1" applyBorder="1" applyAlignment="1">
      <alignment horizontal="right" vertical="center"/>
    </xf>
    <xf numFmtId="17" fontId="2" fillId="3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2" fontId="3" fillId="5" borderId="2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14941</xdr:colOff>
      <xdr:row>1</xdr:row>
      <xdr:rowOff>37354</xdr:rowOff>
    </xdr:from>
    <xdr:to>
      <xdr:col>0</xdr:col>
      <xdr:colOff>706</xdr:colOff>
      <xdr:row>1</xdr:row>
      <xdr:rowOff>217354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ABC1AD96-818E-4FBA-8BA4-DFEB3E2141C1}"/>
            </a:ext>
          </a:extLst>
        </xdr:cNvPr>
        <xdr:cNvSpPr/>
      </xdr:nvSpPr>
      <xdr:spPr>
        <a:xfrm>
          <a:off x="164166" y="1809004"/>
          <a:ext cx="188965" cy="18317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3AA8-CFEE-479D-A347-E0C569DA3654}">
  <dimension ref="A2:AP25"/>
  <sheetViews>
    <sheetView tabSelected="1" zoomScale="60" zoomScaleNormal="60" workbookViewId="0">
      <selection activeCell="I30" sqref="I30"/>
    </sheetView>
  </sheetViews>
  <sheetFormatPr defaultRowHeight="14.5" x14ac:dyDescent="0.35"/>
  <sheetData>
    <row r="2" spans="1:41" ht="18" x14ac:dyDescent="0.35">
      <c r="A2" s="4" t="s">
        <v>27</v>
      </c>
    </row>
    <row r="4" spans="1:41" ht="18" x14ac:dyDescent="0.35">
      <c r="A4" s="4"/>
      <c r="B4" s="1" t="s">
        <v>0</v>
      </c>
      <c r="C4" s="1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3" t="s">
        <v>13</v>
      </c>
      <c r="Q4" s="4"/>
      <c r="R4" s="2" t="s">
        <v>1</v>
      </c>
      <c r="S4" s="2" t="s">
        <v>2</v>
      </c>
      <c r="T4" s="2" t="s">
        <v>3</v>
      </c>
      <c r="U4" s="2" t="s">
        <v>4</v>
      </c>
      <c r="V4" s="2" t="s">
        <v>5</v>
      </c>
      <c r="W4" s="2" t="s">
        <v>6</v>
      </c>
      <c r="X4" s="2" t="s">
        <v>7</v>
      </c>
      <c r="Y4" s="2" t="s">
        <v>8</v>
      </c>
      <c r="Z4" s="2" t="s">
        <v>9</v>
      </c>
      <c r="AA4" s="2" t="s">
        <v>10</v>
      </c>
      <c r="AB4" s="2" t="s">
        <v>11</v>
      </c>
      <c r="AC4" s="2" t="s">
        <v>12</v>
      </c>
      <c r="AD4" s="5" t="s">
        <v>14</v>
      </c>
      <c r="AE4" s="4"/>
      <c r="AF4" s="3" t="s">
        <v>15</v>
      </c>
      <c r="AG4" s="3" t="s">
        <v>16</v>
      </c>
      <c r="AH4" s="3" t="s">
        <v>17</v>
      </c>
      <c r="AI4" s="3" t="s">
        <v>18</v>
      </c>
      <c r="AJ4" s="4"/>
      <c r="AK4" s="5" t="s">
        <v>19</v>
      </c>
      <c r="AL4" s="5" t="s">
        <v>20</v>
      </c>
      <c r="AM4" s="5" t="s">
        <v>21</v>
      </c>
      <c r="AN4" s="5" t="s">
        <v>22</v>
      </c>
      <c r="AO4" s="4"/>
    </row>
    <row r="5" spans="1:41" ht="18" x14ac:dyDescent="0.35">
      <c r="A5" s="4"/>
      <c r="B5" s="6" t="s">
        <v>23</v>
      </c>
      <c r="C5" s="7" t="s">
        <v>24</v>
      </c>
      <c r="D5" s="8">
        <v>3.7653206525675956E-2</v>
      </c>
      <c r="E5" s="8">
        <v>6.1113330749590661E-2</v>
      </c>
      <c r="F5" s="8">
        <v>3.4680294784001899E-2</v>
      </c>
      <c r="G5" s="8">
        <v>6.2014575313347191E-2</v>
      </c>
      <c r="H5" s="8">
        <v>5.8577528662456448E-2</v>
      </c>
      <c r="I5" s="8">
        <v>6.1600902384970513E-2</v>
      </c>
      <c r="J5" s="8">
        <v>5.2940135033693443E-2</v>
      </c>
      <c r="K5" s="8">
        <v>3.9933612096616417E-2</v>
      </c>
      <c r="L5" s="8">
        <v>3.2130449212489448E-2</v>
      </c>
      <c r="M5" s="8">
        <v>5.1008635653338852E-2</v>
      </c>
      <c r="N5" s="8">
        <v>4.9200000000000001E-2</v>
      </c>
      <c r="O5" s="8">
        <v>4.9200000000000001E-2</v>
      </c>
      <c r="P5" s="8">
        <f>AVERAGE(D5:O5)</f>
        <v>4.9171055868015068E-2</v>
      </c>
      <c r="Q5" s="9"/>
      <c r="R5" s="8">
        <v>6.4800017061745971E-2</v>
      </c>
      <c r="S5" s="8">
        <v>3.9471826236298233E-2</v>
      </c>
      <c r="T5" s="8">
        <v>3.7806933314240565E-2</v>
      </c>
      <c r="U5" s="8">
        <v>4.085201165776061E-2</v>
      </c>
      <c r="V5" s="8">
        <v>4.5571777093791219E-2</v>
      </c>
      <c r="W5" s="8">
        <v>5.0434581970187256E-2</v>
      </c>
      <c r="X5" s="8">
        <v>5.6253792941164039E-2</v>
      </c>
      <c r="Y5" s="8">
        <v>4.8226165791224365E-2</v>
      </c>
      <c r="Z5" s="8">
        <v>2.6336579331152511E-2</v>
      </c>
      <c r="AA5" s="8">
        <v>3.1301573241719102E-2</v>
      </c>
      <c r="AB5" s="8">
        <v>4.1356815373090251E-2</v>
      </c>
      <c r="AC5" s="8">
        <v>5.3403468398095129E-2</v>
      </c>
      <c r="AD5" s="8">
        <f>AVERAGE(R5:AC5)</f>
        <v>4.4651295200872444E-2</v>
      </c>
      <c r="AE5" s="4"/>
      <c r="AF5" s="10">
        <f>AVERAGE(D5:F5)</f>
        <v>4.448227735308951E-2</v>
      </c>
      <c r="AG5" s="10">
        <f>AVERAGE(G5:I5)</f>
        <v>6.0731002120258053E-2</v>
      </c>
      <c r="AH5" s="10">
        <f>AVERAGE(J5:L5)</f>
        <v>4.1668065447599767E-2</v>
      </c>
      <c r="AI5" s="10">
        <f>AVERAGE(M5:O5)</f>
        <v>4.9802878551112949E-2</v>
      </c>
      <c r="AJ5" s="4"/>
      <c r="AK5" s="11">
        <f>AVERAGE(R5:T5)</f>
        <v>4.735959220409492E-2</v>
      </c>
      <c r="AL5" s="11">
        <f>AVERAGE(U5:W5)</f>
        <v>4.5619456907246357E-2</v>
      </c>
      <c r="AM5" s="11">
        <f>AVERAGE(X5:Z5)</f>
        <v>4.360551268784698E-2</v>
      </c>
      <c r="AN5" s="11">
        <f>AVERAGE(AA5:AC5)</f>
        <v>4.2020619004301492E-2</v>
      </c>
      <c r="AO5" s="4"/>
    </row>
    <row r="6" spans="1:41" ht="18" x14ac:dyDescent="0.35">
      <c r="A6" s="4"/>
      <c r="B6" s="12"/>
      <c r="C6" s="13" t="s">
        <v>25</v>
      </c>
      <c r="D6" s="10">
        <v>3.89011816027841E-2</v>
      </c>
      <c r="E6" s="10">
        <v>3.3247299786299346E-2</v>
      </c>
      <c r="F6" s="10">
        <v>3.9029474774540288E-2</v>
      </c>
      <c r="G6" s="10">
        <v>6.5998526797719489E-2</v>
      </c>
      <c r="H6" s="10">
        <v>4.6638955458274373E-2</v>
      </c>
      <c r="I6" s="10">
        <v>3.4887689969674007E-2</v>
      </c>
      <c r="J6" s="10">
        <v>4.3107022320379509E-2</v>
      </c>
      <c r="K6" s="10">
        <v>4.4901744533264731E-2</v>
      </c>
      <c r="L6" s="10">
        <v>2.9000000000000001E-2</v>
      </c>
      <c r="M6" s="10">
        <v>3.1E-2</v>
      </c>
      <c r="N6" s="10">
        <v>7.0000000000000007E-2</v>
      </c>
      <c r="O6" s="10">
        <v>4.4999999999999998E-2</v>
      </c>
      <c r="P6" s="8">
        <f>AVERAGE(D6:O6)</f>
        <v>4.3475991270244652E-2</v>
      </c>
      <c r="Q6" s="9"/>
      <c r="R6" s="10">
        <v>5.3794325841927788E-2</v>
      </c>
      <c r="S6" s="10">
        <v>3.5195897513010929E-2</v>
      </c>
      <c r="T6" s="10">
        <v>4.6596143631037382E-2</v>
      </c>
      <c r="U6" s="10">
        <v>4.1000000000000002E-2</v>
      </c>
      <c r="V6" s="10">
        <v>4.7E-2</v>
      </c>
      <c r="W6" s="14"/>
      <c r="X6" s="10"/>
      <c r="Y6" s="10"/>
      <c r="Z6" s="15"/>
      <c r="AA6" s="15"/>
      <c r="AB6" s="15"/>
      <c r="AC6" s="15"/>
      <c r="AD6" s="8">
        <f>AVERAGE(R6:AC6)</f>
        <v>4.4717273397195223E-2</v>
      </c>
      <c r="AE6" s="4"/>
      <c r="AF6" s="10">
        <f>AVERAGE(D6:F6)</f>
        <v>3.7059318721207914E-2</v>
      </c>
      <c r="AG6" s="10">
        <f>AVERAGE(G6:I6)</f>
        <v>4.9175057408555954E-2</v>
      </c>
      <c r="AH6" s="10">
        <f>AVERAGE(J6:L6)</f>
        <v>3.9002922284548082E-2</v>
      </c>
      <c r="AI6" s="10">
        <f>AVERAGE(M6:O6)</f>
        <v>4.8666666666666671E-2</v>
      </c>
      <c r="AJ6" s="4"/>
      <c r="AK6" s="11">
        <f>AVERAGE(R6:T6)</f>
        <v>4.5195455661992033E-2</v>
      </c>
      <c r="AL6" s="11">
        <f>AVERAGE(U6:W6)</f>
        <v>4.3999999999999997E-2</v>
      </c>
      <c r="AM6" s="11"/>
      <c r="AN6" s="11"/>
      <c r="AO6" s="4"/>
    </row>
    <row r="7" spans="1:41" ht="18" x14ac:dyDescent="0.35">
      <c r="A7" s="4"/>
      <c r="B7" s="12"/>
      <c r="C7" s="13" t="s">
        <v>26</v>
      </c>
      <c r="D7" s="16">
        <f t="shared" ref="D7:J7" si="0">D5/D6</f>
        <v>0.96791935294276954</v>
      </c>
      <c r="E7" s="16">
        <f t="shared" si="0"/>
        <v>1.8381441844120658</v>
      </c>
      <c r="F7" s="16">
        <f t="shared" si="0"/>
        <v>0.88856678149880086</v>
      </c>
      <c r="G7" s="16">
        <f t="shared" si="0"/>
        <v>0.93963575131634669</v>
      </c>
      <c r="H7" s="16">
        <f t="shared" si="0"/>
        <v>1.2559785717084282</v>
      </c>
      <c r="I7" s="16">
        <f t="shared" si="0"/>
        <v>1.7656916361764525</v>
      </c>
      <c r="J7" s="16">
        <f t="shared" si="0"/>
        <v>1.2281093006200332</v>
      </c>
      <c r="K7" s="16">
        <f>K5/K6</f>
        <v>0.88935546963063417</v>
      </c>
      <c r="L7" s="16">
        <f>L5/L6</f>
        <v>1.1079465245686015</v>
      </c>
      <c r="M7" s="16">
        <f>M5/M6</f>
        <v>1.6454398597851243</v>
      </c>
      <c r="N7" s="16">
        <f>N5/N6</f>
        <v>0.70285714285714285</v>
      </c>
      <c r="O7" s="16">
        <f>O5/O6</f>
        <v>1.0933333333333335</v>
      </c>
      <c r="P7" s="17">
        <f>AVERAGE(D7:O7)</f>
        <v>1.1935814924041446</v>
      </c>
      <c r="Q7" s="9"/>
      <c r="R7" s="16">
        <f t="shared" ref="R7:AC7" si="1">R5/R6</f>
        <v>1.2045883287422898</v>
      </c>
      <c r="S7" s="16">
        <f t="shared" si="1"/>
        <v>1.1214894071590762</v>
      </c>
      <c r="T7" s="18">
        <f t="shared" si="1"/>
        <v>0.81137472692177082</v>
      </c>
      <c r="U7" s="16">
        <f t="shared" si="1"/>
        <v>0.99639052823806362</v>
      </c>
      <c r="V7" s="18">
        <f t="shared" si="1"/>
        <v>0.9696122785913025</v>
      </c>
      <c r="W7" s="16" t="e">
        <f t="shared" si="1"/>
        <v>#DIV/0!</v>
      </c>
      <c r="X7" s="16" t="e">
        <f t="shared" si="1"/>
        <v>#DIV/0!</v>
      </c>
      <c r="Y7" s="16" t="e">
        <f t="shared" si="1"/>
        <v>#DIV/0!</v>
      </c>
      <c r="Z7" s="16" t="e">
        <f t="shared" si="1"/>
        <v>#DIV/0!</v>
      </c>
      <c r="AA7" s="16" t="e">
        <f t="shared" si="1"/>
        <v>#DIV/0!</v>
      </c>
      <c r="AB7" s="16" t="e">
        <f t="shared" si="1"/>
        <v>#DIV/0!</v>
      </c>
      <c r="AC7" s="16" t="e">
        <f t="shared" si="1"/>
        <v>#DIV/0!</v>
      </c>
      <c r="AD7" s="17" t="e">
        <f>AVERAGE(R7:AC7)</f>
        <v>#DIV/0!</v>
      </c>
      <c r="AE7" s="4"/>
      <c r="AF7" s="16">
        <f>AF5/AF6</f>
        <v>1.2002993818565171</v>
      </c>
      <c r="AG7" s="16">
        <f>AG5/AG6</f>
        <v>1.2349960593984275</v>
      </c>
      <c r="AH7" s="16">
        <f>AH5/AH6</f>
        <v>1.0683318840472511</v>
      </c>
      <c r="AI7" s="16">
        <f>AI5/AI6</f>
        <v>1.0233468195434168</v>
      </c>
      <c r="AJ7" s="4"/>
      <c r="AK7" s="11">
        <f>AK5/AK6</f>
        <v>1.0478839412149761</v>
      </c>
      <c r="AL7" s="11">
        <f>AL5/AL6</f>
        <v>1.0368058388010537</v>
      </c>
      <c r="AM7" s="16"/>
      <c r="AN7" s="11"/>
      <c r="AO7" s="4"/>
    </row>
    <row r="8" spans="1:41" ht="18" x14ac:dyDescent="0.35">
      <c r="A8" s="4"/>
      <c r="B8" s="19" t="s">
        <v>28</v>
      </c>
      <c r="C8" s="4"/>
      <c r="D8" s="4"/>
      <c r="E8" s="4"/>
      <c r="F8" s="4"/>
      <c r="G8" s="4"/>
      <c r="H8" s="20"/>
      <c r="I8" s="20"/>
      <c r="J8" s="2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12" spans="1:41" ht="18" x14ac:dyDescent="0.35">
      <c r="A12" s="4"/>
      <c r="B12" s="4" t="s">
        <v>29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21" t="s">
        <v>30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21" t="s">
        <v>30</v>
      </c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1" ht="18" x14ac:dyDescent="0.35">
      <c r="A13" s="4"/>
      <c r="B13" s="1" t="s">
        <v>0</v>
      </c>
      <c r="C13" s="1"/>
      <c r="D13" s="2" t="s">
        <v>1</v>
      </c>
      <c r="E13" s="2" t="s">
        <v>2</v>
      </c>
      <c r="F13" s="2" t="s">
        <v>3</v>
      </c>
      <c r="G13" s="2" t="s">
        <v>4</v>
      </c>
      <c r="H13" s="2" t="s">
        <v>5</v>
      </c>
      <c r="I13" s="2" t="s">
        <v>6</v>
      </c>
      <c r="J13" s="2" t="s">
        <v>7</v>
      </c>
      <c r="K13" s="2" t="s">
        <v>8</v>
      </c>
      <c r="L13" s="2" t="s">
        <v>9</v>
      </c>
      <c r="M13" s="2" t="s">
        <v>10</v>
      </c>
      <c r="N13" s="2" t="s">
        <v>11</v>
      </c>
      <c r="O13" s="2" t="s">
        <v>12</v>
      </c>
      <c r="P13" s="3" t="s">
        <v>13</v>
      </c>
      <c r="Q13" s="4"/>
      <c r="R13" s="2" t="s">
        <v>1</v>
      </c>
      <c r="S13" s="2" t="s">
        <v>2</v>
      </c>
      <c r="T13" s="2" t="s">
        <v>3</v>
      </c>
      <c r="U13" s="2" t="s">
        <v>4</v>
      </c>
      <c r="V13" s="2" t="s">
        <v>5</v>
      </c>
      <c r="W13" s="2" t="s">
        <v>6</v>
      </c>
      <c r="X13" s="2" t="s">
        <v>7</v>
      </c>
      <c r="Y13" s="2" t="s">
        <v>8</v>
      </c>
      <c r="Z13" s="2" t="s">
        <v>9</v>
      </c>
      <c r="AA13" s="2" t="s">
        <v>10</v>
      </c>
      <c r="AB13" s="2" t="s">
        <v>11</v>
      </c>
      <c r="AC13" s="2" t="s">
        <v>12</v>
      </c>
      <c r="AD13" s="5" t="s">
        <v>14</v>
      </c>
      <c r="AE13" s="4"/>
      <c r="AF13" s="3" t="s">
        <v>15</v>
      </c>
      <c r="AG13" s="3" t="s">
        <v>16</v>
      </c>
      <c r="AH13" s="3" t="s">
        <v>17</v>
      </c>
      <c r="AI13" s="3" t="s">
        <v>18</v>
      </c>
      <c r="AJ13" s="4"/>
      <c r="AK13" s="5" t="s">
        <v>19</v>
      </c>
      <c r="AL13" s="5" t="s">
        <v>20</v>
      </c>
      <c r="AM13" s="5" t="s">
        <v>21</v>
      </c>
      <c r="AN13" s="5" t="s">
        <v>22</v>
      </c>
    </row>
    <row r="14" spans="1:41" ht="18" x14ac:dyDescent="0.35">
      <c r="A14" s="4"/>
      <c r="B14" s="6" t="s">
        <v>31</v>
      </c>
      <c r="C14" s="7" t="s">
        <v>24</v>
      </c>
      <c r="D14" s="22">
        <v>4.0000000000000001E-3</v>
      </c>
      <c r="E14" s="22">
        <v>4.0000000000000001E-3</v>
      </c>
      <c r="F14" s="22">
        <v>4.0000000000000001E-3</v>
      </c>
      <c r="G14" s="22">
        <v>4.0000000000000001E-3</v>
      </c>
      <c r="H14" s="22">
        <v>4.0000000000000001E-3</v>
      </c>
      <c r="I14" s="22">
        <v>4.0000000000000001E-3</v>
      </c>
      <c r="J14" s="22">
        <v>4.0000000000000001E-3</v>
      </c>
      <c r="K14" s="22">
        <v>4.0000000000000001E-3</v>
      </c>
      <c r="L14" s="22">
        <v>4.0000000000000001E-3</v>
      </c>
      <c r="M14" s="22">
        <v>4.0000000000000001E-3</v>
      </c>
      <c r="N14" s="22">
        <v>4.0000000000000001E-3</v>
      </c>
      <c r="O14" s="22">
        <v>4.0000000000000001E-3</v>
      </c>
      <c r="P14" s="23">
        <f>AVERAGE(D14:O14)</f>
        <v>4.000000000000001E-3</v>
      </c>
      <c r="Q14" s="9"/>
      <c r="R14" s="22">
        <v>2.2000000000000001E-3</v>
      </c>
      <c r="S14" s="22">
        <v>2.2000000000000001E-3</v>
      </c>
      <c r="T14" s="22">
        <v>2.2000000000000001E-3</v>
      </c>
      <c r="U14" s="22">
        <v>2.2000000000000001E-3</v>
      </c>
      <c r="V14" s="22">
        <v>2.2000000000000001E-3</v>
      </c>
      <c r="W14" s="22">
        <v>2.2000000000000001E-3</v>
      </c>
      <c r="X14" s="22">
        <v>2.2000000000000001E-3</v>
      </c>
      <c r="Y14" s="22">
        <v>2.2000000000000001E-3</v>
      </c>
      <c r="Z14" s="22">
        <v>2.2000000000000001E-3</v>
      </c>
      <c r="AA14" s="22">
        <v>2.2000000000000001E-3</v>
      </c>
      <c r="AB14" s="22">
        <v>2.2000000000000001E-3</v>
      </c>
      <c r="AC14" s="22">
        <v>2.2000000000000001E-3</v>
      </c>
      <c r="AD14" s="23">
        <f>SUM(R14:AC14)</f>
        <v>2.6400000000000003E-2</v>
      </c>
      <c r="AE14" s="4"/>
      <c r="AF14" s="11">
        <f>AVERAGE(D14:F14)</f>
        <v>4.0000000000000001E-3</v>
      </c>
      <c r="AG14" s="11">
        <f>AVERAGE(G14:I14)</f>
        <v>4.0000000000000001E-3</v>
      </c>
      <c r="AH14" s="11">
        <f>AVERAGE(J14:L14)</f>
        <v>4.0000000000000001E-3</v>
      </c>
      <c r="AI14" s="11">
        <f>AVERAGE(M14:O14)</f>
        <v>4.0000000000000001E-3</v>
      </c>
      <c r="AJ14" s="4"/>
      <c r="AK14" s="11">
        <f>AVERAGE(R14:T14)</f>
        <v>2.2000000000000001E-3</v>
      </c>
      <c r="AL14" s="11">
        <f>AVERAGE(U14:W14)</f>
        <v>2.2000000000000001E-3</v>
      </c>
      <c r="AM14" s="11">
        <f>AVERAGE(X14:Z14)</f>
        <v>2.2000000000000001E-3</v>
      </c>
      <c r="AN14" s="11">
        <f>AVERAGE(AA14:AC14)</f>
        <v>2.2000000000000001E-3</v>
      </c>
    </row>
    <row r="15" spans="1:41" ht="18" x14ac:dyDescent="0.35">
      <c r="A15" s="4"/>
      <c r="B15" s="12"/>
      <c r="C15" s="13" t="s">
        <v>25</v>
      </c>
      <c r="D15" s="11">
        <v>1.1999999999999999E-3</v>
      </c>
      <c r="E15" s="11">
        <v>2.3E-3</v>
      </c>
      <c r="F15" s="11">
        <v>3.8E-3</v>
      </c>
      <c r="G15" s="11">
        <v>1E-3</v>
      </c>
      <c r="H15" s="22">
        <v>1.9E-3</v>
      </c>
      <c r="I15" s="24">
        <v>3.3999999999999998E-3</v>
      </c>
      <c r="J15" s="11">
        <v>1E-3</v>
      </c>
      <c r="K15" s="24">
        <v>1.5E-3</v>
      </c>
      <c r="L15" s="24">
        <v>1.6000000000000001E-3</v>
      </c>
      <c r="M15" s="24">
        <v>2.3999999999999998E-3</v>
      </c>
      <c r="N15" s="24">
        <v>1.6299999999999999E-2</v>
      </c>
      <c r="O15" s="24">
        <v>3.3E-3</v>
      </c>
      <c r="P15" s="25">
        <f>AVERAGE(D15:O15)</f>
        <v>3.3083333333333333E-3</v>
      </c>
      <c r="Q15" s="9"/>
      <c r="R15" s="11">
        <v>5.5999999999999999E-3</v>
      </c>
      <c r="S15" s="11">
        <v>2.8999999999999998E-3</v>
      </c>
      <c r="T15" s="11">
        <v>7.4000000000000003E-3</v>
      </c>
      <c r="U15" s="11">
        <v>3.5000000000000001E-3</v>
      </c>
      <c r="V15" s="11">
        <v>5.7999999999999996E-3</v>
      </c>
      <c r="W15" s="11">
        <v>6.6E-3</v>
      </c>
      <c r="X15" s="11"/>
      <c r="Y15" s="24"/>
      <c r="Z15" s="24"/>
      <c r="AA15" s="24"/>
      <c r="AB15" s="24"/>
      <c r="AC15" s="24"/>
      <c r="AD15" s="25">
        <f>AVERAGE(R15:AC15)</f>
        <v>5.3E-3</v>
      </c>
      <c r="AE15" s="4"/>
      <c r="AF15" s="11">
        <f>AVERAGE(D15:F15)</f>
        <v>2.4333333333333329E-3</v>
      </c>
      <c r="AG15" s="11">
        <f>AVERAGE(G15:I15)</f>
        <v>2.0999999999999999E-3</v>
      </c>
      <c r="AH15" s="11">
        <f>AVERAGE(J15:L15)</f>
        <v>1.3666666666666669E-3</v>
      </c>
      <c r="AI15" s="11">
        <f>AVERAGE(M15:O15)</f>
        <v>7.3333333333333332E-3</v>
      </c>
      <c r="AJ15" s="4"/>
      <c r="AK15" s="11">
        <f>AVERAGE(R15:T15)</f>
        <v>5.3E-3</v>
      </c>
      <c r="AL15" s="11">
        <f>AVERAGE(U15:W15)</f>
        <v>5.2999999999999992E-3</v>
      </c>
      <c r="AM15" s="11" t="e">
        <f>AVERAGE(X15:Z15)</f>
        <v>#DIV/0!</v>
      </c>
      <c r="AN15" s="11" t="e">
        <f>AVERAGE(AA15:AC15)</f>
        <v>#DIV/0!</v>
      </c>
    </row>
    <row r="16" spans="1:41" ht="18" x14ac:dyDescent="0.35">
      <c r="A16" s="4"/>
      <c r="B16" s="12"/>
      <c r="C16" s="13" t="s">
        <v>26</v>
      </c>
      <c r="D16" s="16">
        <f t="shared" ref="D16:O16" si="2">D14/D15</f>
        <v>3.3333333333333335</v>
      </c>
      <c r="E16" s="16">
        <f t="shared" si="2"/>
        <v>1.7391304347826089</v>
      </c>
      <c r="F16" s="16">
        <f t="shared" si="2"/>
        <v>1.0526315789473684</v>
      </c>
      <c r="G16" s="16">
        <f t="shared" si="2"/>
        <v>4</v>
      </c>
      <c r="H16" s="16">
        <f t="shared" si="2"/>
        <v>2.1052631578947367</v>
      </c>
      <c r="I16" s="16">
        <f t="shared" si="2"/>
        <v>1.1764705882352942</v>
      </c>
      <c r="J16" s="16">
        <f t="shared" si="2"/>
        <v>4</v>
      </c>
      <c r="K16" s="16">
        <f t="shared" si="2"/>
        <v>2.6666666666666665</v>
      </c>
      <c r="L16" s="16">
        <f t="shared" si="2"/>
        <v>2.5</v>
      </c>
      <c r="M16" s="16">
        <f t="shared" si="2"/>
        <v>1.6666666666666667</v>
      </c>
      <c r="N16" s="16">
        <f t="shared" si="2"/>
        <v>0.245398773006135</v>
      </c>
      <c r="O16" s="16">
        <f t="shared" si="2"/>
        <v>1.2121212121212122</v>
      </c>
      <c r="P16" s="17">
        <f>AVERAGE(D16:O16)</f>
        <v>2.1414735343045019</v>
      </c>
      <c r="Q16" s="9"/>
      <c r="R16" s="11">
        <f t="shared" ref="R16:AC16" si="3">R14/R15</f>
        <v>0.3928571428571429</v>
      </c>
      <c r="S16" s="11">
        <f t="shared" si="3"/>
        <v>0.75862068965517249</v>
      </c>
      <c r="T16" s="11">
        <f t="shared" si="3"/>
        <v>0.29729729729729731</v>
      </c>
      <c r="U16" s="26">
        <f t="shared" si="3"/>
        <v>0.62857142857142856</v>
      </c>
      <c r="V16" s="26">
        <f t="shared" si="3"/>
        <v>0.37931034482758624</v>
      </c>
      <c r="W16" s="26">
        <f t="shared" si="3"/>
        <v>0.33333333333333337</v>
      </c>
      <c r="X16" s="26" t="e">
        <f t="shared" si="3"/>
        <v>#DIV/0!</v>
      </c>
      <c r="Y16" s="26" t="e">
        <f t="shared" si="3"/>
        <v>#DIV/0!</v>
      </c>
      <c r="Z16" s="26" t="e">
        <f t="shared" si="3"/>
        <v>#DIV/0!</v>
      </c>
      <c r="AA16" s="26" t="e">
        <f t="shared" si="3"/>
        <v>#DIV/0!</v>
      </c>
      <c r="AB16" s="26" t="e">
        <f t="shared" si="3"/>
        <v>#DIV/0!</v>
      </c>
      <c r="AC16" s="26" t="e">
        <f t="shared" si="3"/>
        <v>#DIV/0!</v>
      </c>
      <c r="AD16" s="17" t="e">
        <f>AVERAGE(R16:AC16)</f>
        <v>#DIV/0!</v>
      </c>
      <c r="AE16" s="4"/>
      <c r="AF16" s="11">
        <f>AVERAGE(D16:F16)</f>
        <v>2.0416984490211036</v>
      </c>
      <c r="AG16" s="11">
        <f>AVERAGE(G16:I16)</f>
        <v>2.4272445820433437</v>
      </c>
      <c r="AH16" s="11">
        <f>AVERAGE(J16:L16)</f>
        <v>3.0555555555555554</v>
      </c>
      <c r="AI16" s="11">
        <f>AVERAGE(M16:O16)</f>
        <v>1.0413955505980048</v>
      </c>
      <c r="AJ16" s="4"/>
      <c r="AK16" s="11">
        <f>AK14/AK15</f>
        <v>0.41509433962264153</v>
      </c>
      <c r="AL16" s="11">
        <f>AL14/AL15</f>
        <v>0.41509433962264158</v>
      </c>
      <c r="AM16" s="11" t="e">
        <f>AM14/AM15</f>
        <v>#DIV/0!</v>
      </c>
      <c r="AN16" s="11">
        <f>AVERAGE(L16:N16)</f>
        <v>1.4706884798909341</v>
      </c>
    </row>
    <row r="21" spans="2:42" ht="18" x14ac:dyDescent="0.35">
      <c r="B21" s="4"/>
      <c r="C21" s="4" t="s">
        <v>32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 t="s">
        <v>33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 t="s">
        <v>33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2:42" ht="18" x14ac:dyDescent="0.35">
      <c r="B22" s="4"/>
      <c r="C22" s="1" t="s">
        <v>0</v>
      </c>
      <c r="D22" s="1"/>
      <c r="E22" s="27">
        <v>45658</v>
      </c>
      <c r="F22" s="27">
        <v>45689</v>
      </c>
      <c r="G22" s="27">
        <v>45717</v>
      </c>
      <c r="H22" s="27">
        <v>45748</v>
      </c>
      <c r="I22" s="27">
        <v>45778</v>
      </c>
      <c r="J22" s="27">
        <v>45809</v>
      </c>
      <c r="K22" s="27">
        <v>45839</v>
      </c>
      <c r="L22" s="27">
        <v>45870</v>
      </c>
      <c r="M22" s="27">
        <v>45901</v>
      </c>
      <c r="N22" s="27">
        <v>45931</v>
      </c>
      <c r="O22" s="27">
        <v>45962</v>
      </c>
      <c r="P22" s="27">
        <v>45992</v>
      </c>
      <c r="Q22" s="3" t="s">
        <v>13</v>
      </c>
      <c r="R22" s="4"/>
      <c r="S22" s="27">
        <v>45658</v>
      </c>
      <c r="T22" s="27">
        <v>45689</v>
      </c>
      <c r="U22" s="27">
        <v>45717</v>
      </c>
      <c r="V22" s="27">
        <v>45748</v>
      </c>
      <c r="W22" s="27">
        <v>45778</v>
      </c>
      <c r="X22" s="27">
        <v>45809</v>
      </c>
      <c r="Y22" s="27">
        <v>45839</v>
      </c>
      <c r="Z22" s="27">
        <v>45870</v>
      </c>
      <c r="AA22" s="27">
        <v>45901</v>
      </c>
      <c r="AB22" s="27">
        <v>45931</v>
      </c>
      <c r="AC22" s="27">
        <v>45962</v>
      </c>
      <c r="AD22" s="27">
        <v>45992</v>
      </c>
      <c r="AE22" s="5" t="s">
        <v>14</v>
      </c>
      <c r="AF22" s="4"/>
      <c r="AG22" s="3" t="s">
        <v>15</v>
      </c>
      <c r="AH22" s="3" t="s">
        <v>16</v>
      </c>
      <c r="AI22" s="3" t="s">
        <v>17</v>
      </c>
      <c r="AJ22" s="3" t="s">
        <v>18</v>
      </c>
      <c r="AK22" s="4"/>
      <c r="AL22" s="5" t="s">
        <v>19</v>
      </c>
      <c r="AM22" s="5" t="s">
        <v>20</v>
      </c>
      <c r="AN22" s="5" t="s">
        <v>21</v>
      </c>
      <c r="AO22" s="5" t="s">
        <v>22</v>
      </c>
      <c r="AP22" s="4"/>
    </row>
    <row r="23" spans="2:42" ht="18" x14ac:dyDescent="0.35">
      <c r="B23" s="4"/>
      <c r="C23" s="28" t="s">
        <v>34</v>
      </c>
      <c r="D23" s="7" t="s">
        <v>35</v>
      </c>
      <c r="E23" s="29">
        <v>2.6635188354311086</v>
      </c>
      <c r="F23" s="29">
        <v>1.9066925648594388</v>
      </c>
      <c r="G23" s="29">
        <v>1.9731544925642801</v>
      </c>
      <c r="H23" s="29">
        <v>2.2032981361063251</v>
      </c>
      <c r="I23" s="29">
        <v>2.0720277428093037</v>
      </c>
      <c r="J23" s="29">
        <v>1.97</v>
      </c>
      <c r="K23" s="29">
        <v>2.5499999999999998</v>
      </c>
      <c r="L23" s="29">
        <v>2.33</v>
      </c>
      <c r="M23" s="30">
        <v>1.48</v>
      </c>
      <c r="N23" s="30">
        <v>1.58</v>
      </c>
      <c r="O23" s="30">
        <v>1.65</v>
      </c>
      <c r="P23" s="30">
        <v>1.36</v>
      </c>
      <c r="Q23" s="31">
        <f>SUM(E23:P23)</f>
        <v>23.738691771770455</v>
      </c>
      <c r="R23" s="4"/>
      <c r="S23" s="29">
        <v>2.38</v>
      </c>
      <c r="T23" s="29">
        <v>1.61</v>
      </c>
      <c r="U23" s="29">
        <v>2.77</v>
      </c>
      <c r="V23" s="29">
        <v>2.77</v>
      </c>
      <c r="W23" s="29">
        <v>2.7</v>
      </c>
      <c r="X23" s="32"/>
      <c r="Y23" s="29"/>
      <c r="Z23" s="29"/>
      <c r="AA23" s="30"/>
      <c r="AB23" s="30"/>
      <c r="AC23" s="30"/>
      <c r="AD23" s="30"/>
      <c r="AE23" s="31">
        <f>SUM(S23:AD23)</f>
        <v>12.23</v>
      </c>
      <c r="AF23" s="4"/>
      <c r="AG23" s="33">
        <f>SUM(E23:G23)</f>
        <v>6.5433658928548279</v>
      </c>
      <c r="AH23" s="33">
        <f>SUM(H23:J23)</f>
        <v>6.2453258789156285</v>
      </c>
      <c r="AI23" s="33">
        <f>SUM(K23:M23)</f>
        <v>6.3599999999999994</v>
      </c>
      <c r="AJ23" s="33">
        <f>SUM(N23:P23)</f>
        <v>4.59</v>
      </c>
      <c r="AK23" s="4"/>
      <c r="AL23" s="34">
        <f>SUM(S23:U23)</f>
        <v>6.76</v>
      </c>
      <c r="AM23" s="34">
        <f>SUM(V23:X23)</f>
        <v>5.4700000000000006</v>
      </c>
      <c r="AN23" s="33"/>
      <c r="AO23" s="33"/>
      <c r="AP23" s="4"/>
    </row>
    <row r="24" spans="2:42" ht="18" x14ac:dyDescent="0.35">
      <c r="B24" s="4"/>
      <c r="C24" s="35"/>
      <c r="D24" s="13" t="s">
        <v>36</v>
      </c>
      <c r="E24" s="33">
        <v>49.92002559806344</v>
      </c>
      <c r="F24" s="33">
        <v>39.452492699016751</v>
      </c>
      <c r="G24" s="33">
        <v>35.933038083149704</v>
      </c>
      <c r="H24" s="33">
        <v>41.832783415360637</v>
      </c>
      <c r="I24" s="33">
        <v>44.426975742693187</v>
      </c>
      <c r="J24" s="15">
        <v>56.56</v>
      </c>
      <c r="K24" s="15">
        <v>59.27</v>
      </c>
      <c r="L24" s="15">
        <v>51.94</v>
      </c>
      <c r="M24" s="15">
        <v>51.38</v>
      </c>
      <c r="N24" s="15">
        <v>51.55</v>
      </c>
      <c r="O24" s="15">
        <v>23.43</v>
      </c>
      <c r="P24" s="15">
        <v>29.99</v>
      </c>
      <c r="Q24" s="31">
        <f>SUM(E24:P24)</f>
        <v>535.6853155382837</v>
      </c>
      <c r="R24" s="4"/>
      <c r="S24" s="34">
        <v>47.63</v>
      </c>
      <c r="T24" s="34">
        <v>45.88</v>
      </c>
      <c r="U24" s="34">
        <v>59.51</v>
      </c>
      <c r="V24" s="34">
        <v>67.77</v>
      </c>
      <c r="W24" s="34">
        <v>57.15</v>
      </c>
      <c r="X24" s="36"/>
      <c r="Y24" s="15"/>
      <c r="Z24" s="15"/>
      <c r="AA24" s="15"/>
      <c r="AB24" s="15"/>
      <c r="AC24" s="15"/>
      <c r="AD24" s="15"/>
      <c r="AE24" s="31">
        <f>SUM(S24:AD24)</f>
        <v>277.94</v>
      </c>
      <c r="AF24" s="4"/>
      <c r="AG24" s="33">
        <f>SUM(E24:G24)</f>
        <v>125.30555638022989</v>
      </c>
      <c r="AH24" s="33">
        <f>SUM(H24:J24)</f>
        <v>142.81975915805384</v>
      </c>
      <c r="AI24" s="33">
        <f>SUM(K24:M24)</f>
        <v>162.59</v>
      </c>
      <c r="AJ24" s="33">
        <f>SUM(N24:P24)</f>
        <v>104.96999999999998</v>
      </c>
      <c r="AK24" s="4"/>
      <c r="AL24" s="34">
        <f>SUM(S24:U24)</f>
        <v>153.02000000000001</v>
      </c>
      <c r="AM24" s="34">
        <f>SUM(V24:X24)</f>
        <v>124.91999999999999</v>
      </c>
      <c r="AN24" s="33"/>
      <c r="AO24" s="33"/>
      <c r="AP24" s="4"/>
    </row>
    <row r="25" spans="2:42" ht="18" x14ac:dyDescent="0.35">
      <c r="B25" s="4"/>
      <c r="C25" s="35"/>
      <c r="D25" s="13" t="s">
        <v>26</v>
      </c>
      <c r="E25" s="10">
        <f t="shared" ref="E25:P25" si="4">E23/E24</f>
        <v>5.3355718542228377E-2</v>
      </c>
      <c r="F25" s="10">
        <f t="shared" si="4"/>
        <v>4.8328823717315027E-2</v>
      </c>
      <c r="G25" s="10">
        <f t="shared" si="4"/>
        <v>5.4911986233904427E-2</v>
      </c>
      <c r="H25" s="10">
        <f t="shared" si="4"/>
        <v>5.2669173701152601E-2</v>
      </c>
      <c r="I25" s="10">
        <f t="shared" si="4"/>
        <v>4.6638955458274373E-2</v>
      </c>
      <c r="J25" s="10">
        <f t="shared" si="4"/>
        <v>3.4830268741159826E-2</v>
      </c>
      <c r="K25" s="10">
        <f t="shared" si="4"/>
        <v>4.302345199932512E-2</v>
      </c>
      <c r="L25" s="10">
        <f t="shared" si="4"/>
        <v>4.4859453215248368E-2</v>
      </c>
      <c r="M25" s="10">
        <f t="shared" si="4"/>
        <v>2.8804982483456597E-2</v>
      </c>
      <c r="N25" s="10">
        <f t="shared" si="4"/>
        <v>3.0649854510184291E-2</v>
      </c>
      <c r="O25" s="10">
        <f t="shared" si="4"/>
        <v>7.0422535211267609E-2</v>
      </c>
      <c r="P25" s="10">
        <f t="shared" si="4"/>
        <v>4.5348449483161059E-2</v>
      </c>
      <c r="Q25" s="10">
        <f>Q23/Q24</f>
        <v>4.4314621071732417E-2</v>
      </c>
      <c r="R25" s="4"/>
      <c r="S25" s="10">
        <f>S23/S24</f>
        <v>4.9968507243334029E-2</v>
      </c>
      <c r="T25" s="10">
        <f>T23/T24</f>
        <v>3.5091543156059286E-2</v>
      </c>
      <c r="U25" s="10">
        <f>U23/U24</f>
        <v>4.6546798857334905E-2</v>
      </c>
      <c r="V25" s="10">
        <f t="shared" ref="V25:AD25" si="5">V23/V24</f>
        <v>4.0873542865574743E-2</v>
      </c>
      <c r="W25" s="10">
        <f t="shared" si="5"/>
        <v>4.7244094488188983E-2</v>
      </c>
      <c r="X25" s="10" t="e">
        <f t="shared" si="5"/>
        <v>#DIV/0!</v>
      </c>
      <c r="Y25" s="10" t="e">
        <f t="shared" si="5"/>
        <v>#DIV/0!</v>
      </c>
      <c r="Z25" s="10" t="e">
        <f t="shared" si="5"/>
        <v>#DIV/0!</v>
      </c>
      <c r="AA25" s="10" t="e">
        <f t="shared" si="5"/>
        <v>#DIV/0!</v>
      </c>
      <c r="AB25" s="10" t="e">
        <f t="shared" si="5"/>
        <v>#DIV/0!</v>
      </c>
      <c r="AC25" s="10" t="e">
        <f t="shared" si="5"/>
        <v>#DIV/0!</v>
      </c>
      <c r="AD25" s="10" t="e">
        <f t="shared" si="5"/>
        <v>#DIV/0!</v>
      </c>
      <c r="AE25" s="10">
        <f>AE23/AE24</f>
        <v>4.4002302655249334E-2</v>
      </c>
      <c r="AF25" s="4"/>
      <c r="AG25" s="10">
        <f>AG23/AG24</f>
        <v>5.2219279670244603E-2</v>
      </c>
      <c r="AH25" s="10">
        <f>AH23/AH24</f>
        <v>4.3728724342716019E-2</v>
      </c>
      <c r="AI25" s="10">
        <f>AI23/AI24</f>
        <v>3.9116796850974841E-2</v>
      </c>
      <c r="AJ25" s="10">
        <f>AJ23/AJ24</f>
        <v>4.3726779079737071E-2</v>
      </c>
      <c r="AK25" s="4"/>
      <c r="AL25" s="10">
        <f>AL23/AL24</f>
        <v>4.4177231734413798E-2</v>
      </c>
      <c r="AM25" s="10">
        <f>AM23/AM24</f>
        <v>4.3788024335574778E-2</v>
      </c>
      <c r="AN25" s="10" t="e">
        <f>AN23/AN24</f>
        <v>#DIV/0!</v>
      </c>
      <c r="AO25" s="10" t="e">
        <f>AO23/AO24</f>
        <v>#DIV/0!</v>
      </c>
      <c r="AP25" s="4"/>
    </row>
  </sheetData>
  <mergeCells count="6">
    <mergeCell ref="C22:D22"/>
    <mergeCell ref="C23:C25"/>
    <mergeCell ref="B4:C4"/>
    <mergeCell ref="B5:B7"/>
    <mergeCell ref="B13:C13"/>
    <mergeCell ref="B14:B1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Rômulo Lira</dc:creator>
  <cp:lastModifiedBy>Rômulo Lira</cp:lastModifiedBy>
  <dcterms:created xsi:type="dcterms:W3CDTF">2026-08-06T11:17:45Z</dcterms:created>
  <dcterms:modified xsi:type="dcterms:W3CDTF">2026-08-06T11:22:33Z</dcterms:modified>
</cp:coreProperties>
</file>